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BCB091FA-0C1E-4D30-8A0A-3C875A0152A7}" xr6:coauthVersionLast="47" xr6:coauthVersionMax="47" xr10:uidLastSave="{00000000-0000-0000-0000-000000000000}"/>
  <bookViews>
    <workbookView xWindow="25600" yWindow="0" windowWidth="25600" windowHeight="13800" activeTab="2" xr2:uid="{00000000-000D-0000-FFFF-FFFF00000000}"/>
  </bookViews>
  <sheets>
    <sheet name="Przychody według kategorii" sheetId="4" r:id="rId1"/>
    <sheet name="Kto, gdzie i za ile sprzedaje" sheetId="5" r:id="rId2"/>
    <sheet name="Dane" sheetId="3" r:id="rId3"/>
  </sheets>
  <definedNames>
    <definedName name="DaneZewnętrzne_1" localSheetId="2" hidden="1">Dane!$A$1:$E$21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I4" i="3"/>
  <c r="I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BB0022-7F20-44D4-952D-E3E34A1552BB}" keepAlive="1" name="Zapytanie — dane_sprzedaz(1)" description="Połączenie z zapytaniem „dane_sprzedaz” w skoroszycie." type="5" refreshedVersion="6" background="1" saveData="1">
    <dbPr connection="Provider=Microsoft.Mashup.OleDb.1;Data Source=$Workbook$;Location=dane_sprzedaz;Extended Properties=&quot;&quot;" command="SELECT * FROM [dane_sprzedaz]"/>
  </connection>
</connections>
</file>

<file path=xl/sharedStrings.xml><?xml version="1.0" encoding="utf-8"?>
<sst xmlns="http://schemas.openxmlformats.org/spreadsheetml/2006/main" count="83" uniqueCount="21">
  <si>
    <t>Data</t>
  </si>
  <si>
    <t>Sprzedawca</t>
  </si>
  <si>
    <t>Kategoria</t>
  </si>
  <si>
    <t>Cena</t>
  </si>
  <si>
    <t>Miasto</t>
  </si>
  <si>
    <t>Jan</t>
  </si>
  <si>
    <t>Laptop</t>
  </si>
  <si>
    <t>Warszawa</t>
  </si>
  <si>
    <t>Anna</t>
  </si>
  <si>
    <t>Smartfon</t>
  </si>
  <si>
    <t>Tomek</t>
  </si>
  <si>
    <t>Telewizor</t>
  </si>
  <si>
    <t>Kraków</t>
  </si>
  <si>
    <t>Gdańsk</t>
  </si>
  <si>
    <t>Słuchawki</t>
  </si>
  <si>
    <t>Poznań</t>
  </si>
  <si>
    <t>Wrocław</t>
  </si>
  <si>
    <t>Etykiety wierszy</t>
  </si>
  <si>
    <t>Suma końcowa</t>
  </si>
  <si>
    <t>Suma z Cena</t>
  </si>
  <si>
    <t>Liczba transakcji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</si>
</sst>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/>
    <xf numFmtId="0" fontId="1" fillId="0" borderId="1" xfId="0" applyFont="1" applyBorder="1"/>
  </cellXfs>
  <cellStyles count="1">
    <cellStyle name="Normalny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5" formatCode="yyyy/mm/dd"/>
    </dxf>
    <dxf>
      <numFmt numFmtId="164" formatCode="#,##0.00\ &quot;zł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[Pierwszy plik.xlsx]Przychody według kategorii!Tabela przestawna1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Przychód według</a:t>
            </a:r>
            <a:r>
              <a:rPr lang="pl-PL" baseline="0"/>
              <a:t> kategorii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'Przychody według kategorii'!$B$3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'Przychody według kategorii'!$A$4:$A$8</c:f>
              <c:strCache>
                <c:ptCount val="4"/>
                <c:pt idx="0">
                  <c:v>Laptop</c:v>
                </c:pt>
                <c:pt idx="1">
                  <c:v>Słuchawki</c:v>
                </c:pt>
                <c:pt idx="2">
                  <c:v>Smartfon</c:v>
                </c:pt>
                <c:pt idx="3">
                  <c:v>Telewizor</c:v>
                </c:pt>
              </c:strCache>
            </c:strRef>
          </c:cat>
          <c:val>
            <c:numRef>
              <c:f>'Przychody według kategorii'!$B$4:$B$8</c:f>
              <c:numCache>
                <c:formatCode>#\ ##0.00\ "zł"</c:formatCode>
                <c:ptCount val="4"/>
                <c:pt idx="0">
                  <c:v>17200</c:v>
                </c:pt>
                <c:pt idx="1">
                  <c:v>1470</c:v>
                </c:pt>
                <c:pt idx="2">
                  <c:v>11100</c:v>
                </c:pt>
                <c:pt idx="3">
                  <c:v>21100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A-4B30-881A-44357344B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33103"/>
        <c:axId val="242427359"/>
      </c:barChart>
      <c:catAx>
        <c:axId val="11713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42427359"/>
        <c:crosses val="autoZero"/>
        <c:auto val="1"/>
        <c:lblAlgn val="ctr"/>
        <c:lblOffset val="100"/>
        <c:noMultiLvlLbl val="0"/>
      </c:catAx>
      <c:valAx>
        <c:axId val="24242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zł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713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[Pierwszy plik.xlsx]Kto, gdzie i za ile sprzedaje!Tabela przestawna2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'Kto, gdzie i za ile sprzedaje'!$B$3</c:f>
              <c:strCache>
                <c:ptCount val="1"/>
                <c:pt idx="0">
                  <c:v>Suma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7C-436F-92A3-3ABC5B97C3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7C-436F-92A3-3ABC5B97C3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77C-436F-92A3-3ABC5B97C3E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'Kto, gdzie i za ile sprzedaje'!$A$4:$A$7</c:f>
              <c:strCache>
                <c:ptCount val="3"/>
                <c:pt idx="0">
                  <c:v>Anna</c:v>
                </c:pt>
                <c:pt idx="1">
                  <c:v>Jan</c:v>
                </c:pt>
                <c:pt idx="2">
                  <c:v>Tomek</c:v>
                </c:pt>
              </c:strCache>
            </c:strRef>
          </c:cat>
          <c:val>
            <c:numRef>
              <c:f>'Kto, gdzie i za ile sprzedaje'!$B$4:$B$7</c:f>
              <c:numCache>
                <c:formatCode>General</c:formatCode>
                <c:ptCount val="3"/>
                <c:pt idx="0">
                  <c:v>15440</c:v>
                </c:pt>
                <c:pt idx="1">
                  <c:v>17880</c:v>
                </c:pt>
                <c:pt idx="2">
                  <c:v>17550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C-4D1F-A4E4-7BBBF57D4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4</xdr:row>
      <xdr:rowOff>42862</xdr:rowOff>
    </xdr:from>
    <xdr:to>
      <xdr:col>13</xdr:col>
      <xdr:colOff>309562</xdr:colOff>
      <xdr:row>18</xdr:row>
      <xdr:rowOff>119062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8FA80FD-DE3C-41E7-B49E-27862E907F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1</xdr:row>
      <xdr:rowOff>123824</xdr:rowOff>
    </xdr:from>
    <xdr:to>
      <xdr:col>11</xdr:col>
      <xdr:colOff>276224</xdr:colOff>
      <xdr:row>22</xdr:row>
      <xdr:rowOff>171449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9EEC2BE-1884-46FC-9309-802C75BCA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02.536506249999" createdVersion="6" refreshedVersion="6" minRefreshableVersion="3" recordCount="20" xr:uid="{0F680EA0-2936-44DB-B646-ACCE036071B1}">
  <cacheSource type="worksheet">
    <worksheetSource name="dane_sprzedaz"/>
  </cacheSource>
  <cacheFields count="5">
    <cacheField name="Data" numFmtId="14">
      <sharedItems containsSemiMixedTypes="0" containsNonDate="0" containsDate="1" containsString="0" minDate="2023-11-02T00:00:00" maxDate="2023-12-21T00:00:00"/>
    </cacheField>
    <cacheField name="Sprzedawca" numFmtId="0">
      <sharedItems count="3">
        <s v="Jan"/>
        <s v="Anna"/>
        <s v="Tomek"/>
      </sharedItems>
    </cacheField>
    <cacheField name="Kategoria" numFmtId="0">
      <sharedItems count="4">
        <s v="Laptop"/>
        <s v="Smartfon"/>
        <s v="Telewizor"/>
        <s v="Słuchawki"/>
      </sharedItems>
    </cacheField>
    <cacheField name="Cena" numFmtId="0">
      <sharedItems containsSemiMixedTypes="0" containsString="0" containsNumber="1" containsInteger="1" minValue="250" maxValue="4500"/>
    </cacheField>
    <cacheField name="Miasto" numFmtId="0">
      <sharedItems count="5">
        <s v="Warszawa"/>
        <s v="Kraków"/>
        <s v="Gdańsk"/>
        <s v="Poznań"/>
        <s v="Wrocła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d v="2023-11-02T00:00:00"/>
    <x v="0"/>
    <x v="0"/>
    <n v="3500"/>
    <x v="0"/>
  </r>
  <r>
    <d v="2023-11-03T00:00:00"/>
    <x v="1"/>
    <x v="1"/>
    <n v="2200"/>
    <x v="1"/>
  </r>
  <r>
    <d v="2023-11-05T00:00:00"/>
    <x v="2"/>
    <x v="2"/>
    <n v="4500"/>
    <x v="2"/>
  </r>
  <r>
    <d v="2023-11-06T00:00:00"/>
    <x v="0"/>
    <x v="3"/>
    <n v="300"/>
    <x v="0"/>
  </r>
  <r>
    <d v="2023-11-08T00:00:00"/>
    <x v="1"/>
    <x v="0"/>
    <n v="3200"/>
    <x v="1"/>
  </r>
  <r>
    <d v="2023-11-10T00:00:00"/>
    <x v="2"/>
    <x v="1"/>
    <n v="2500"/>
    <x v="2"/>
  </r>
  <r>
    <d v="2023-11-12T00:00:00"/>
    <x v="0"/>
    <x v="2"/>
    <n v="4100"/>
    <x v="0"/>
  </r>
  <r>
    <d v="2023-11-15T00:00:00"/>
    <x v="1"/>
    <x v="3"/>
    <n v="250"/>
    <x v="3"/>
  </r>
  <r>
    <d v="2023-11-18T00:00:00"/>
    <x v="2"/>
    <x v="0"/>
    <n v="3800"/>
    <x v="4"/>
  </r>
  <r>
    <d v="2023-11-20T00:00:00"/>
    <x v="0"/>
    <x v="1"/>
    <n v="1900"/>
    <x v="0"/>
  </r>
  <r>
    <d v="2023-11-22T00:00:00"/>
    <x v="1"/>
    <x v="2"/>
    <n v="4300"/>
    <x v="1"/>
  </r>
  <r>
    <d v="2023-11-25T00:00:00"/>
    <x v="2"/>
    <x v="3"/>
    <n v="350"/>
    <x v="2"/>
  </r>
  <r>
    <d v="2023-12-01T00:00:00"/>
    <x v="0"/>
    <x v="0"/>
    <n v="3600"/>
    <x v="0"/>
  </r>
  <r>
    <d v="2023-12-03T00:00:00"/>
    <x v="1"/>
    <x v="1"/>
    <n v="2100"/>
    <x v="3"/>
  </r>
  <r>
    <d v="2023-12-05T00:00:00"/>
    <x v="2"/>
    <x v="2"/>
    <n v="4000"/>
    <x v="4"/>
  </r>
  <r>
    <d v="2023-12-08T00:00:00"/>
    <x v="0"/>
    <x v="3"/>
    <n v="280"/>
    <x v="0"/>
  </r>
  <r>
    <d v="2023-12-10T00:00:00"/>
    <x v="1"/>
    <x v="0"/>
    <n v="3100"/>
    <x v="1"/>
  </r>
  <r>
    <d v="2023-12-12T00:00:00"/>
    <x v="2"/>
    <x v="1"/>
    <n v="2400"/>
    <x v="2"/>
  </r>
  <r>
    <d v="2023-12-15T00:00:00"/>
    <x v="0"/>
    <x v="2"/>
    <n v="4200"/>
    <x v="0"/>
  </r>
  <r>
    <d v="2023-12-20T00:00:00"/>
    <x v="1"/>
    <x v="3"/>
    <n v="29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45CB4-600D-45FF-8C76-1A133B27631F}" name="Tabela przestawna1" cacheId="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8">
  <location ref="A3:B8" firstHeaderRow="1" firstDataRow="1" firstDataCol="1"/>
  <pivotFields count="5">
    <pivotField numFmtId="14" showAll="0"/>
    <pivotField showAll="0"/>
    <pivotField axis="axisRow" showAll="0">
      <items count="5">
        <item x="0"/>
        <item x="3"/>
        <item x="1"/>
        <item x="2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Cena" fld="3" baseField="0" baseItem="0"/>
  </dataFields>
  <formats count="1">
    <format dxfId="4">
      <pivotArea collapsedLevelsAreSubtotals="1" fieldPosition="0">
        <references count="1">
          <reference field="2" count="0"/>
        </references>
      </pivotArea>
    </format>
  </format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1AFF1-8DA6-49B1-8EF7-42C479CA7AC2}" name="Tabela przestawna2" cacheId="0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5">
  <location ref="A3:B7" firstHeaderRow="1" firstDataRow="1" firstDataCol="1"/>
  <pivotFields count="5">
    <pivotField numFmtId="14"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>
      <items count="6">
        <item x="2"/>
        <item x="1"/>
        <item x="3"/>
        <item x="0"/>
        <item x="4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z Cena" fld="3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neZewnętrzne_1" connectionId="1" xr16:uid="{9FA87CF6-3322-4FD9-AB3E-3C0B884B0120}" autoFormatId="16" applyNumberFormats="0" applyBorderFormats="0" applyFontFormats="0" applyPatternFormats="0" applyAlignmentFormats="0" applyWidthHeightFormats="0">
  <queryTableRefresh nextId="6">
    <queryTableFields count="5">
      <queryTableField id="1" name="Data" tableColumnId="1"/>
      <queryTableField id="2" name="Sprzedawca" tableColumnId="2"/>
      <queryTableField id="3" name="Kategoria" tableColumnId="3"/>
      <queryTableField id="4" name="Cena" tableColumnId="4"/>
      <queryTableField id="5" name="Miast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A0475F-1286-43FD-B504-1D0A64B5F37F}" name="dane_sprzedaz" displayName="dane_sprzedaz" ref="A1:E21" tableType="queryTable" totalsRowShown="0">
  <autoFilter ref="A1:E21" xr:uid="{5A076B98-78B3-44E2-B927-A30AA8BDE62F}"/>
  <tableColumns count="5">
    <tableColumn id="1" xr3:uid="{07E39CB4-4AD4-4447-9019-73E1222D8323}" uniqueName="1" name="Data" queryTableFieldId="1" dataDxfId="3"/>
    <tableColumn id="2" xr3:uid="{5761262A-7EC0-45D1-A803-FC889BDF2CA3}" uniqueName="2" name="Sprzedawca" queryTableFieldId="2" dataDxfId="2"/>
    <tableColumn id="3" xr3:uid="{83DE4165-36E3-45A9-AF8D-C9787EE80CC0}" uniqueName="3" name="Kategoria" queryTableFieldId="3" dataDxfId="1"/>
    <tableColumn id="4" xr3:uid="{D0690551-5CF9-44A9-AC53-FD4A6F55D457}" uniqueName="4" name="Cena" queryTableFieldId="4"/>
    <tableColumn id="5" xr3:uid="{6F0F3622-143E-46E2-93C5-D456F418ED8C}" uniqueName="5" name="Miast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6A06-93FA-4523-8830-5E407F25AD71}">
  <dimension ref="A3:B8"/>
  <sheetViews>
    <sheetView workbookViewId="0">
      <selection activeCell="P11" sqref="P11"/>
    </sheetView>
  </sheetViews>
  <sheetFormatPr defaultRowHeight="14.5" x14ac:dyDescent="0.35"/>
  <cols>
    <col min="1" max="1" width="17.7265625" bestFit="1" customWidth="1"/>
    <col min="2" max="2" width="12" bestFit="1" customWidth="1"/>
  </cols>
  <sheetData>
    <row r="3" spans="1:2" x14ac:dyDescent="0.35">
      <c r="A3" s="2" t="s">
        <v>17</v>
      </c>
      <c r="B3" t="s">
        <v>19</v>
      </c>
    </row>
    <row r="4" spans="1:2" x14ac:dyDescent="0.35">
      <c r="A4" s="3" t="s">
        <v>6</v>
      </c>
      <c r="B4" s="4">
        <v>17200</v>
      </c>
    </row>
    <row r="5" spans="1:2" x14ac:dyDescent="0.35">
      <c r="A5" s="3" t="s">
        <v>14</v>
      </c>
      <c r="B5" s="4">
        <v>1470</v>
      </c>
    </row>
    <row r="6" spans="1:2" x14ac:dyDescent="0.35">
      <c r="A6" s="3" t="s">
        <v>9</v>
      </c>
      <c r="B6" s="4">
        <v>11100</v>
      </c>
    </row>
    <row r="7" spans="1:2" x14ac:dyDescent="0.35">
      <c r="A7" s="3" t="s">
        <v>11</v>
      </c>
      <c r="B7" s="4">
        <v>21100</v>
      </c>
    </row>
    <row r="8" spans="1:2" x14ac:dyDescent="0.35">
      <c r="A8" s="3" t="s">
        <v>18</v>
      </c>
      <c r="B8">
        <v>50870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2732-F9D2-4A33-A732-6FDF5240E6C3}">
  <dimension ref="A3:B7"/>
  <sheetViews>
    <sheetView workbookViewId="0">
      <selection activeCell="N26" sqref="N25:N26"/>
    </sheetView>
  </sheetViews>
  <sheetFormatPr defaultRowHeight="14.5" x14ac:dyDescent="0.35"/>
  <cols>
    <col min="1" max="1" width="17.7265625" bestFit="1" customWidth="1"/>
    <col min="2" max="2" width="12" bestFit="1" customWidth="1"/>
    <col min="3" max="3" width="7.54296875" bestFit="1" customWidth="1"/>
    <col min="4" max="4" width="7.453125" bestFit="1" customWidth="1"/>
    <col min="5" max="5" width="10" bestFit="1" customWidth="1"/>
    <col min="6" max="6" width="8.81640625" bestFit="1" customWidth="1"/>
    <col min="7" max="7" width="14.26953125" bestFit="1" customWidth="1"/>
  </cols>
  <sheetData>
    <row r="3" spans="1:2" x14ac:dyDescent="0.35">
      <c r="A3" s="2" t="s">
        <v>17</v>
      </c>
      <c r="B3" t="s">
        <v>19</v>
      </c>
    </row>
    <row r="4" spans="1:2" x14ac:dyDescent="0.35">
      <c r="A4" s="3" t="s">
        <v>8</v>
      </c>
      <c r="B4">
        <v>15440</v>
      </c>
    </row>
    <row r="5" spans="1:2" x14ac:dyDescent="0.35">
      <c r="A5" s="3" t="s">
        <v>5</v>
      </c>
      <c r="B5">
        <v>17880</v>
      </c>
    </row>
    <row r="6" spans="1:2" x14ac:dyDescent="0.35">
      <c r="A6" s="3" t="s">
        <v>10</v>
      </c>
      <c r="B6">
        <v>17550</v>
      </c>
    </row>
    <row r="7" spans="1:2" x14ac:dyDescent="0.35">
      <c r="A7" s="3" t="s">
        <v>18</v>
      </c>
      <c r="B7">
        <v>50870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FF96-0120-4D9E-B417-96782E3087AA}">
  <dimension ref="A1:I21"/>
  <sheetViews>
    <sheetView tabSelected="1" zoomScale="145" zoomScaleNormal="145" workbookViewId="0">
      <selection activeCell="I6" sqref="I6"/>
    </sheetView>
  </sheetViews>
  <sheetFormatPr defaultRowHeight="14.5" x14ac:dyDescent="0.35"/>
  <cols>
    <col min="1" max="1" width="10.7265625" bestFit="1" customWidth="1"/>
    <col min="2" max="2" width="13.7265625" bestFit="1" customWidth="1"/>
    <col min="3" max="3" width="11.7265625" bestFit="1" customWidth="1"/>
    <col min="4" max="4" width="7.7265625" bestFit="1" customWidth="1"/>
    <col min="5" max="5" width="9.81640625" bestFit="1" customWidth="1"/>
    <col min="7" max="7" width="9.1796875" customWidth="1"/>
    <col min="8" max="8" width="10.453125" customWidth="1"/>
    <col min="9" max="9" width="15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H1" s="6" t="s">
        <v>1</v>
      </c>
      <c r="I1" s="6" t="s">
        <v>20</v>
      </c>
    </row>
    <row r="2" spans="1:9" x14ac:dyDescent="0.35">
      <c r="A2" s="1">
        <v>45232</v>
      </c>
      <c r="B2" t="s">
        <v>5</v>
      </c>
      <c r="C2" t="s">
        <v>6</v>
      </c>
      <c r="D2">
        <v>3500</v>
      </c>
      <c r="E2" t="s">
        <v>7</v>
      </c>
      <c r="H2" s="5" t="s">
        <v>8</v>
      </c>
      <c r="I2" s="5">
        <f>COUNTIF($B$2:$B$21, H2)</f>
        <v>7</v>
      </c>
    </row>
    <row r="3" spans="1:9" x14ac:dyDescent="0.35">
      <c r="A3" s="1">
        <v>45233</v>
      </c>
      <c r="B3" t="s">
        <v>8</v>
      </c>
      <c r="C3" t="s">
        <v>9</v>
      </c>
      <c r="D3">
        <v>2200</v>
      </c>
      <c r="E3" t="s">
        <v>12</v>
      </c>
      <c r="H3" s="5" t="s">
        <v>5</v>
      </c>
      <c r="I3" s="5">
        <f t="shared" ref="I3:I4" si="0">COUNTIF($B$2:$B$21, H3)</f>
        <v>7</v>
      </c>
    </row>
    <row r="4" spans="1:9" x14ac:dyDescent="0.35">
      <c r="A4" s="1">
        <v>45235</v>
      </c>
      <c r="B4" t="s">
        <v>10</v>
      </c>
      <c r="C4" t="s">
        <v>11</v>
      </c>
      <c r="D4">
        <v>4500</v>
      </c>
      <c r="E4" t="s">
        <v>13</v>
      </c>
      <c r="H4" s="5" t="s">
        <v>10</v>
      </c>
      <c r="I4" s="5">
        <f t="shared" si="0"/>
        <v>6</v>
      </c>
    </row>
    <row r="5" spans="1:9" x14ac:dyDescent="0.35">
      <c r="A5" s="1">
        <v>45236</v>
      </c>
      <c r="B5" t="s">
        <v>5</v>
      </c>
      <c r="C5" t="s">
        <v>14</v>
      </c>
      <c r="D5">
        <v>300</v>
      </c>
      <c r="E5" t="s">
        <v>7</v>
      </c>
    </row>
    <row r="6" spans="1:9" x14ac:dyDescent="0.35">
      <c r="A6" s="1">
        <v>45238</v>
      </c>
      <c r="B6" t="s">
        <v>8</v>
      </c>
      <c r="C6" t="s">
        <v>6</v>
      </c>
      <c r="D6">
        <v>3200</v>
      </c>
      <c r="E6" t="s">
        <v>12</v>
      </c>
    </row>
    <row r="7" spans="1:9" x14ac:dyDescent="0.35">
      <c r="A7" s="1">
        <v>45240</v>
      </c>
      <c r="B7" t="s">
        <v>10</v>
      </c>
      <c r="C7" t="s">
        <v>9</v>
      </c>
      <c r="D7">
        <v>2500</v>
      </c>
      <c r="E7" t="s">
        <v>13</v>
      </c>
    </row>
    <row r="8" spans="1:9" x14ac:dyDescent="0.35">
      <c r="A8" s="1">
        <v>45242</v>
      </c>
      <c r="B8" t="s">
        <v>5</v>
      </c>
      <c r="C8" t="s">
        <v>11</v>
      </c>
      <c r="D8">
        <v>4100</v>
      </c>
      <c r="E8" t="s">
        <v>7</v>
      </c>
    </row>
    <row r="9" spans="1:9" x14ac:dyDescent="0.35">
      <c r="A9" s="1">
        <v>45245</v>
      </c>
      <c r="B9" t="s">
        <v>8</v>
      </c>
      <c r="C9" t="s">
        <v>14</v>
      </c>
      <c r="D9">
        <v>250</v>
      </c>
      <c r="E9" t="s">
        <v>15</v>
      </c>
    </row>
    <row r="10" spans="1:9" x14ac:dyDescent="0.35">
      <c r="A10" s="1">
        <v>45248</v>
      </c>
      <c r="B10" t="s">
        <v>10</v>
      </c>
      <c r="C10" t="s">
        <v>6</v>
      </c>
      <c r="D10">
        <v>3800</v>
      </c>
      <c r="E10" t="s">
        <v>16</v>
      </c>
    </row>
    <row r="11" spans="1:9" x14ac:dyDescent="0.35">
      <c r="A11" s="1">
        <v>45250</v>
      </c>
      <c r="B11" t="s">
        <v>5</v>
      </c>
      <c r="C11" t="s">
        <v>9</v>
      </c>
      <c r="D11">
        <v>1900</v>
      </c>
      <c r="E11" t="s">
        <v>7</v>
      </c>
    </row>
    <row r="12" spans="1:9" x14ac:dyDescent="0.35">
      <c r="A12" s="1">
        <v>45252</v>
      </c>
      <c r="B12" t="s">
        <v>8</v>
      </c>
      <c r="C12" t="s">
        <v>11</v>
      </c>
      <c r="D12">
        <v>4300</v>
      </c>
      <c r="E12" t="s">
        <v>12</v>
      </c>
    </row>
    <row r="13" spans="1:9" x14ac:dyDescent="0.35">
      <c r="A13" s="1">
        <v>45255</v>
      </c>
      <c r="B13" t="s">
        <v>10</v>
      </c>
      <c r="C13" t="s">
        <v>14</v>
      </c>
      <c r="D13">
        <v>350</v>
      </c>
      <c r="E13" t="s">
        <v>13</v>
      </c>
    </row>
    <row r="14" spans="1:9" x14ac:dyDescent="0.35">
      <c r="A14" s="1">
        <v>45261</v>
      </c>
      <c r="B14" t="s">
        <v>5</v>
      </c>
      <c r="C14" t="s">
        <v>6</v>
      </c>
      <c r="D14">
        <v>3600</v>
      </c>
      <c r="E14" t="s">
        <v>7</v>
      </c>
    </row>
    <row r="15" spans="1:9" x14ac:dyDescent="0.35">
      <c r="A15" s="1">
        <v>45263</v>
      </c>
      <c r="B15" t="s">
        <v>8</v>
      </c>
      <c r="C15" t="s">
        <v>9</v>
      </c>
      <c r="D15">
        <v>2100</v>
      </c>
      <c r="E15" t="s">
        <v>15</v>
      </c>
    </row>
    <row r="16" spans="1:9" x14ac:dyDescent="0.35">
      <c r="A16" s="1">
        <v>45265</v>
      </c>
      <c r="B16" t="s">
        <v>10</v>
      </c>
      <c r="C16" t="s">
        <v>11</v>
      </c>
      <c r="D16">
        <v>4000</v>
      </c>
      <c r="E16" t="s">
        <v>16</v>
      </c>
    </row>
    <row r="17" spans="1:5" x14ac:dyDescent="0.35">
      <c r="A17" s="1">
        <v>45268</v>
      </c>
      <c r="B17" t="s">
        <v>5</v>
      </c>
      <c r="C17" t="s">
        <v>14</v>
      </c>
      <c r="D17">
        <v>280</v>
      </c>
      <c r="E17" t="s">
        <v>7</v>
      </c>
    </row>
    <row r="18" spans="1:5" x14ac:dyDescent="0.35">
      <c r="A18" s="1">
        <v>45270</v>
      </c>
      <c r="B18" t="s">
        <v>8</v>
      </c>
      <c r="C18" t="s">
        <v>6</v>
      </c>
      <c r="D18">
        <v>3100</v>
      </c>
      <c r="E18" t="s">
        <v>12</v>
      </c>
    </row>
    <row r="19" spans="1:5" x14ac:dyDescent="0.35">
      <c r="A19" s="1">
        <v>45272</v>
      </c>
      <c r="B19" t="s">
        <v>10</v>
      </c>
      <c r="C19" t="s">
        <v>9</v>
      </c>
      <c r="D19">
        <v>2400</v>
      </c>
      <c r="E19" t="s">
        <v>13</v>
      </c>
    </row>
    <row r="20" spans="1:5" x14ac:dyDescent="0.35">
      <c r="A20" s="1">
        <v>45275</v>
      </c>
      <c r="B20" t="s">
        <v>5</v>
      </c>
      <c r="C20" t="s">
        <v>11</v>
      </c>
      <c r="D20">
        <v>4200</v>
      </c>
      <c r="E20" t="s">
        <v>7</v>
      </c>
    </row>
    <row r="21" spans="1:5" x14ac:dyDescent="0.35">
      <c r="A21" s="1">
        <v>45280</v>
      </c>
      <c r="B21" t="s">
        <v>8</v>
      </c>
      <c r="C21" t="s">
        <v>14</v>
      </c>
      <c r="D21">
        <v>290</v>
      </c>
      <c r="E21" t="s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0C4B2D-8201-436E-8EFE-346E697179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Przychody według kategorii</vt:lpstr>
      <vt:lpstr>Kto, gdzie i za ile sprzedaje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2025-12-16T22:12:48Z</dcterms:modified>
</cp:coreProperties>
</file>